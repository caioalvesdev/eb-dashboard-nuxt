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ovação" sheetId="1" r:id="rId4"/>
    <sheet state="visible" name="Base de Alunos Info" sheetId="2" r:id="rId5"/>
    <sheet state="visible" name="Gestão de Contratos MBA" sheetId="3" r:id="rId6"/>
    <sheet state="visible" name="Carteira MBA" sheetId="4" r:id="rId7"/>
    <sheet state="visible" name="Carteira Info" sheetId="5" r:id="rId8"/>
    <sheet state="visible" name="Motivo de Cancelamentos MBA" sheetId="6" r:id="rId9"/>
    <sheet state="visible" name="Motivo de Cancelamentos INFO" sheetId="7" r:id="rId10"/>
    <sheet state="visible" name="KPIs" sheetId="8" r:id="rId11"/>
    <sheet state="visible" name="Página10" sheetId="9" r:id="rId12"/>
  </sheets>
  <definedNames/>
  <calcPr/>
</workbook>
</file>

<file path=xl/sharedStrings.xml><?xml version="1.0" encoding="utf-8"?>
<sst xmlns="http://schemas.openxmlformats.org/spreadsheetml/2006/main" count="196" uniqueCount="111">
  <si>
    <t>Semana</t>
  </si>
  <si>
    <t>Meta em Valor</t>
  </si>
  <si>
    <t>Valor Realizado</t>
  </si>
  <si>
    <t>Meta de Contratos</t>
  </si>
  <si>
    <t>Quantidade Realizada</t>
  </si>
  <si>
    <t>Porcentagem Atingida</t>
  </si>
  <si>
    <t>Valores cancelados</t>
  </si>
  <si>
    <t>Quantidade cancelados</t>
  </si>
  <si>
    <t>Semana 1 (1 a7)</t>
  </si>
  <si>
    <t>Semana 2 (8 a 14)</t>
  </si>
  <si>
    <t xml:space="preserve">Semana 3 (15 a 21) </t>
  </si>
  <si>
    <t>Semana 4 (22 a 30)</t>
  </si>
  <si>
    <t>Sênior Ativo</t>
  </si>
  <si>
    <t>Sênior Inativo</t>
  </si>
  <si>
    <t>Pleno Ativo</t>
  </si>
  <si>
    <t>Pleno Inativos</t>
  </si>
  <si>
    <t>Master Ativo</t>
  </si>
  <si>
    <t>Master Inativo</t>
  </si>
  <si>
    <t>EB Skills Basic Ativos</t>
  </si>
  <si>
    <t>EB Skills Basic Inativos</t>
  </si>
  <si>
    <t>EB Skills Completo Ativos</t>
  </si>
  <si>
    <t>EB Skills Completo Inativos</t>
  </si>
  <si>
    <t>EB Skills Tira Dúvidas Ativos</t>
  </si>
  <si>
    <t>EB Skills Tira Dúvidas Inativos</t>
  </si>
  <si>
    <t>EB Skills Cursos Ativos</t>
  </si>
  <si>
    <t>EB Skills Cursos Inativos</t>
  </si>
  <si>
    <t>RH Assinados</t>
  </si>
  <si>
    <t>RH Pendente</t>
  </si>
  <si>
    <t>Porcentagem RH</t>
  </si>
  <si>
    <t>NR1 Assinados</t>
  </si>
  <si>
    <t>NR1 Pendente</t>
  </si>
  <si>
    <t>Porcentagem NR1</t>
  </si>
  <si>
    <t>DP Assinados</t>
  </si>
  <si>
    <t>DP Pendente</t>
  </si>
  <si>
    <t>Porcentagem DP</t>
  </si>
  <si>
    <t>Alunos MBA RH</t>
  </si>
  <si>
    <t>Alunos MBA NR1</t>
  </si>
  <si>
    <t>Alunos MBA DP</t>
  </si>
  <si>
    <t>Alunos Total</t>
  </si>
  <si>
    <t>Valor MBA RH</t>
  </si>
  <si>
    <t>Valor MBA NR1</t>
  </si>
  <si>
    <t>Valor MBA DP</t>
  </si>
  <si>
    <t>Valor Total</t>
  </si>
  <si>
    <t>Cancelados</t>
  </si>
  <si>
    <t>Valores Cancelados</t>
  </si>
  <si>
    <t>Porcentagem Churn (%)</t>
  </si>
  <si>
    <t>RECEITA</t>
  </si>
  <si>
    <t>Motivo de Cancelamentos</t>
  </si>
  <si>
    <t>Quantidade de cancelamento por motivo</t>
  </si>
  <si>
    <t>Desemprego</t>
  </si>
  <si>
    <t>Redução de renda</t>
  </si>
  <si>
    <t>Não conseguiu organizar o orçamento</t>
  </si>
  <si>
    <t>Prioridade em outros investimentos</t>
  </si>
  <si>
    <t>Falta de tempo devido ao trabalho</t>
  </si>
  <si>
    <t>Jornada de trabalho extensa</t>
  </si>
  <si>
    <t>horas extras frequentes</t>
  </si>
  <si>
    <t>Não se adaptou ao conteúdo</t>
  </si>
  <si>
    <t>Dificuldade com a metodologia online</t>
  </si>
  <si>
    <t>Mudança de área profissional</t>
  </si>
  <si>
    <t>Questões de saúde</t>
  </si>
  <si>
    <t>Dificuldade de acesso à plataforma</t>
  </si>
  <si>
    <t>Desconformidade Comercial</t>
  </si>
  <si>
    <t>erro de pagamento</t>
  </si>
  <si>
    <t>Mba</t>
  </si>
  <si>
    <t>Ganhou de bonus</t>
  </si>
  <si>
    <t>Pessoa</t>
  </si>
  <si>
    <t>KPI</t>
  </si>
  <si>
    <t>Meta Ideal</t>
  </si>
  <si>
    <t>Resultado Atual (Setembro)</t>
  </si>
  <si>
    <t>Status</t>
  </si>
  <si>
    <t>Lucas</t>
  </si>
  <si>
    <t>Renovação Info</t>
  </si>
  <si>
    <t>≥ 50%</t>
  </si>
  <si>
    <t>Churn Info</t>
  </si>
  <si>
    <t>≤ 3%</t>
  </si>
  <si>
    <t>NPS Info</t>
  </si>
  <si>
    <t>≥ 70</t>
  </si>
  <si>
    <t>Reversão de cancelamentos</t>
  </si>
  <si>
    <t>≥ 25%</t>
  </si>
  <si>
    <t>Depoimentos semanais</t>
  </si>
  <si>
    <t>1 por semana (4/mês)</t>
  </si>
  <si>
    <t>Patrícia</t>
  </si>
  <si>
    <t>≥ 20%</t>
  </si>
  <si>
    <t>Contratos assinados MBA</t>
  </si>
  <si>
    <t>≥ 75%</t>
  </si>
  <si>
    <t>Churn MBA</t>
  </si>
  <si>
    <t>≤ 5%</t>
  </si>
  <si>
    <t>NPS MBA</t>
  </si>
  <si>
    <t>Sabrina</t>
  </si>
  <si>
    <t>CSAT (nota atendimento)</t>
  </si>
  <si>
    <t>≥ 80%</t>
  </si>
  <si>
    <t>KPIS</t>
  </si>
  <si>
    <t>CONSOLIDADO GERAL</t>
  </si>
  <si>
    <t>SEM 01 - DE 01 À 07</t>
  </si>
  <si>
    <t>SEM 02 - DE 08 À 14</t>
  </si>
  <si>
    <t>SEM 03 - DE 15 À 21</t>
  </si>
  <si>
    <t>SEM 04 - DE 22 À 30</t>
  </si>
  <si>
    <t>RESPONSAVEL</t>
  </si>
  <si>
    <t>META</t>
  </si>
  <si>
    <t>REALIZADO</t>
  </si>
  <si>
    <t>PORCENTAGEM</t>
  </si>
  <si>
    <t>NOTA DE CSAT</t>
  </si>
  <si>
    <t>SABRINA</t>
  </si>
  <si>
    <t>DEPOIMENTOS</t>
  </si>
  <si>
    <t xml:space="preserve">TAXA DE ASSINATURA DE CONTRATOS </t>
  </si>
  <si>
    <t>PATRICIA</t>
  </si>
  <si>
    <t xml:space="preserve">TAXA DE CHURN </t>
  </si>
  <si>
    <t xml:space="preserve">REVERSÃO DE CANCELAMENTO </t>
  </si>
  <si>
    <t>RENOVAÇÃO</t>
  </si>
  <si>
    <t>LUCAS</t>
  </si>
  <si>
    <t>NPS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</si>
</sst>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b/>
      <color theme="1"/>
      <name val="Arial"/>
    </font>
    <font>
      <b/>
      <color rgb="FFFFFFFF"/>
      <name val="Arial"/>
    </font>
    <font>
      <b/>
      <sz val="37.0"/>
      <color rgb="FFFFFFFF"/>
      <name val="Arial"/>
    </font>
    <font/>
    <font>
      <b/>
      <sz val="15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7F6000"/>
        <bgColor rgb="FF7F60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10" xfId="0" applyAlignment="1" applyBorder="1" applyFont="1" applyNumberFormat="1">
      <alignment horizontal="center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ont="1">
      <alignment horizontal="left" shrinkToFit="0" vertical="center" wrapText="0"/>
    </xf>
    <xf borderId="1" fillId="3" fontId="1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shrinkToFit="0" vertical="center" wrapText="0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shrinkToFit="0" vertical="center" wrapText="0"/>
    </xf>
    <xf borderId="1" fillId="8" fontId="2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ont="1">
      <alignment horizontal="center" shrinkToFit="0" vertical="center" wrapText="0"/>
    </xf>
    <xf borderId="1" fillId="7" fontId="2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0" xfId="0" applyAlignment="1" applyBorder="1" applyFont="1" applyNumberFormat="1">
      <alignment horizontal="center" shrinkToFit="0" vertical="center" wrapText="1"/>
    </xf>
    <xf borderId="1" fillId="10" fontId="2" numFmtId="10" xfId="0" applyAlignment="1" applyBorder="1" applyFill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0"/>
    </xf>
    <xf borderId="1" fillId="11" fontId="3" numFmtId="0" xfId="0" applyAlignment="1" applyBorder="1" applyFont="1">
      <alignment horizontal="center" shrinkToFit="0" vertical="center" wrapText="0"/>
    </xf>
    <xf borderId="1" fillId="0" fontId="3" numFmtId="49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12" fontId="2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0" xfId="0" applyFont="1" applyNumberFormat="1"/>
    <xf borderId="0" fillId="0" fontId="2" numFmtId="0" xfId="0" applyAlignment="1" applyFont="1">
      <alignment vertical="bottom"/>
    </xf>
    <xf borderId="3" fillId="13" fontId="5" numFmtId="0" xfId="0" applyAlignment="1" applyBorder="1" applyFill="1" applyFont="1">
      <alignment horizontal="center"/>
    </xf>
    <xf borderId="4" fillId="0" fontId="6" numFmtId="0" xfId="0" applyBorder="1" applyFont="1"/>
    <xf borderId="5" fillId="0" fontId="6" numFmtId="0" xfId="0" applyBorder="1" applyFont="1"/>
    <xf borderId="0" fillId="3" fontId="7" numFmtId="0" xfId="0" applyAlignment="1" applyFont="1">
      <alignment horizontal="center"/>
    </xf>
    <xf borderId="6" fillId="3" fontId="7" numFmtId="0" xfId="0" applyAlignment="1" applyBorder="1" applyFont="1">
      <alignment horizontal="center"/>
    </xf>
    <xf borderId="6" fillId="0" fontId="6" numFmtId="0" xfId="0" applyBorder="1" applyFont="1"/>
    <xf borderId="7" fillId="14" fontId="7" numFmtId="0" xfId="0" applyAlignment="1" applyBorder="1" applyFill="1" applyFont="1">
      <alignment horizont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horizontal="center"/>
    </xf>
    <xf borderId="14" fillId="0" fontId="2" numFmtId="0" xfId="0" applyAlignment="1" applyBorder="1" applyFont="1">
      <alignment vertical="bottom"/>
    </xf>
    <xf borderId="14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15" fillId="0" fontId="2" numFmtId="10" xfId="0" applyAlignment="1" applyBorder="1" applyFont="1" applyNumberFormat="1">
      <alignment horizontal="center" vertical="bottom"/>
    </xf>
    <xf borderId="15" fillId="0" fontId="2" numFmtId="0" xfId="0" applyAlignment="1" applyBorder="1" applyFont="1">
      <alignment horizontal="center" vertical="bottom"/>
    </xf>
    <xf borderId="14" fillId="0" fontId="2" numFmtId="9" xfId="0" applyAlignment="1" applyBorder="1" applyFont="1" applyNumberForma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center" vertical="bottom"/>
    </xf>
    <xf borderId="11" fillId="0" fontId="2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5">
    <tableStyle count="3" pivot="0" name="Renovação-style">
      <tableStyleElement dxfId="1" type="headerRow"/>
      <tableStyleElement dxfId="2" type="firstRowStripe"/>
      <tableStyleElement dxfId="3" type="secondRowStripe"/>
    </tableStyle>
    <tableStyle count="3" pivot="0" name="Base de Alunos Info-style">
      <tableStyleElement dxfId="1" type="headerRow"/>
      <tableStyleElement dxfId="2" type="firstRowStripe"/>
      <tableStyleElement dxfId="3" type="secondRowStripe"/>
    </tableStyle>
    <tableStyle count="3" pivot="0" name="Gestão de Contratos MBA-style">
      <tableStyleElement dxfId="5" type="headerRow"/>
      <tableStyleElement dxfId="2" type="firstRowStripe"/>
      <tableStyleElement dxfId="3" type="secondRowStripe"/>
    </tableStyle>
    <tableStyle count="3" pivot="0" name="Carteira MBA-style">
      <tableStyleElement dxfId="1" type="headerRow"/>
      <tableStyleElement dxfId="2" type="firstRowStripe"/>
      <tableStyleElement dxfId="3" type="secondRowStripe"/>
    </tableStyle>
    <tableStyle count="3" pivot="0" name="Carteira Inf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" displayName="Table_1" name="Table_1" id="1">
  <tableColumns count="8">
    <tableColumn name="Semana" id="1"/>
    <tableColumn name="Meta em Valor" id="2"/>
    <tableColumn name="Valor Realizado" id="3"/>
    <tableColumn name="Meta de Contratos" id="4"/>
    <tableColumn name="Quantidade Realizada" id="5"/>
    <tableColumn name="Porcentagem Atingida" id="6"/>
    <tableColumn name="Valores cancelados" id="7"/>
    <tableColumn name="Quantidade cancelados" id="8"/>
  </tableColumns>
  <tableStyleInfo name="Renovação-style" showColumnStripes="0" showFirstColumn="1" showLastColumn="1" showRowStripes="1"/>
</table>
</file>

<file path=xl/tables/table2.xml><?xml version="1.0" encoding="utf-8"?>
<table xmlns="http://schemas.openxmlformats.org/spreadsheetml/2006/main" ref="A1:O5" displayName="Table_2" name="Table_2" id="2">
  <tableColumns count="15">
    <tableColumn name="Semana" id="1"/>
    <tableColumn name="Sênior Ativo" id="2"/>
    <tableColumn name="Sênior Inativo" id="3"/>
    <tableColumn name="Pleno Ativo" id="4"/>
    <tableColumn name="Pleno Inativos" id="5"/>
    <tableColumn name="Master Ativo" id="6"/>
    <tableColumn name="Master Inativo" id="7"/>
    <tableColumn name="EB Skills Basic Ativos" id="8"/>
    <tableColumn name="EB Skills Basic Inativos" id="9"/>
    <tableColumn name="EB Skills Completo Ativos" id="10"/>
    <tableColumn name="EB Skills Completo Inativos" id="11"/>
    <tableColumn name="EB Skills Tira Dúvidas Ativos" id="12"/>
    <tableColumn name="EB Skills Tira Dúvidas Inativos" id="13"/>
    <tableColumn name="EB Skills Cursos Ativos" id="14"/>
    <tableColumn name="EB Skills Cursos Inativos" id="15"/>
  </tableColumns>
  <tableStyleInfo name="Base de Alunos Info-style" showColumnStripes="0" showFirstColumn="1" showLastColumn="1" showRowStripes="1"/>
</table>
</file>

<file path=xl/tables/table3.xml><?xml version="1.0" encoding="utf-8"?>
<table xmlns="http://schemas.openxmlformats.org/spreadsheetml/2006/main" ref="A1:J5" displayName="Table_3" name="Table_3" id="3">
  <tableColumns count="10">
    <tableColumn name="Semana" id="1"/>
    <tableColumn name="RH Assinados" id="2"/>
    <tableColumn name="RH Pendente" id="3"/>
    <tableColumn name="Porcentagem RH" id="4"/>
    <tableColumn name="NR1 Assinados" id="5"/>
    <tableColumn name="NR1 Pendente" id="6"/>
    <tableColumn name="Porcentagem NR1" id="7"/>
    <tableColumn name="DP Assinados" id="8"/>
    <tableColumn name="DP Pendente" id="9"/>
    <tableColumn name="Porcentagem DP" id="10"/>
  </tableColumns>
  <tableStyleInfo name="Gestão de Contratos MBA-style" showColumnStripes="0" showFirstColumn="1" showLastColumn="1" showRowStripes="1"/>
</table>
</file>

<file path=xl/tables/table4.xml><?xml version="1.0" encoding="utf-8"?>
<table xmlns="http://schemas.openxmlformats.org/spreadsheetml/2006/main" ref="A1:L5" displayName="Table_4" name="Table_4" id="4">
  <tableColumns count="12">
    <tableColumn name="Semana" id="1"/>
    <tableColumn name="Alunos MBA RH" id="2"/>
    <tableColumn name="Alunos MBA NR1" id="3"/>
    <tableColumn name="Alunos MBA DP" id="4"/>
    <tableColumn name="Alunos Total" id="5"/>
    <tableColumn name="Valor MBA RH" id="6"/>
    <tableColumn name="Valor MBA NR1" id="7"/>
    <tableColumn name="Valor MBA DP" id="8"/>
    <tableColumn name="Valor Total" id="9"/>
    <tableColumn name="Cancelados" id="10"/>
    <tableColumn name="Valores Cancelados" id="11"/>
    <tableColumn name="Porcentagem Churn (%)" id="12"/>
  </tableColumns>
  <tableStyleInfo name="Carteira MBA-style" showColumnStripes="0" showFirstColumn="1" showLastColumn="1" showRowStripes="1"/>
</table>
</file>

<file path=xl/tables/table5.xml><?xml version="1.0" encoding="utf-8"?>
<table xmlns="http://schemas.openxmlformats.org/spreadsheetml/2006/main" ref="A1:E5" displayName="Table_5" name="Table_5" id="5">
  <tableColumns count="5">
    <tableColumn name="Semana" id="1"/>
    <tableColumn name="RECEITA" id="2"/>
    <tableColumn name="Cancelados" id="3"/>
    <tableColumn name="Valores Cancelados" id="4"/>
    <tableColumn name="Porcentagem Churn (%)" id="5"/>
  </tableColumns>
  <tableStyleInfo name="Carteira Inf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26.88"/>
    <col customWidth="1" min="3" max="3" width="23.13"/>
    <col customWidth="1" min="4" max="4" width="27.88"/>
    <col customWidth="1" min="5" max="5" width="23.13"/>
    <col customWidth="1" min="6" max="7" width="23.25"/>
    <col customWidth="1" min="8" max="8" width="26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ht="15.75" customHeight="1">
      <c r="A2" s="4" t="s">
        <v>8</v>
      </c>
      <c r="B2" s="5">
        <v>0.0</v>
      </c>
      <c r="C2" s="6">
        <v>0.0</v>
      </c>
      <c r="D2" s="5">
        <v>0.0</v>
      </c>
      <c r="E2" s="6">
        <v>0.0</v>
      </c>
      <c r="F2" s="7" t="str">
        <f t="shared" ref="F2:F5" si="1">E2/D2</f>
        <v>#DIV/0!</v>
      </c>
      <c r="G2" s="8">
        <v>0.0</v>
      </c>
      <c r="H2" s="8">
        <v>0.0</v>
      </c>
    </row>
    <row r="3" ht="15.75" customHeight="1">
      <c r="A3" s="4" t="s">
        <v>9</v>
      </c>
      <c r="B3" s="5">
        <v>0.0</v>
      </c>
      <c r="C3" s="6">
        <v>0.0</v>
      </c>
      <c r="D3" s="5">
        <v>0.0</v>
      </c>
      <c r="E3" s="6">
        <v>0.0</v>
      </c>
      <c r="F3" s="7" t="str">
        <f t="shared" si="1"/>
        <v>#DIV/0!</v>
      </c>
      <c r="G3" s="8">
        <v>0.0</v>
      </c>
      <c r="H3" s="8">
        <v>0.0</v>
      </c>
    </row>
    <row r="4" ht="15.75" customHeight="1">
      <c r="A4" s="4" t="s">
        <v>10</v>
      </c>
      <c r="B4" s="5">
        <v>0.0</v>
      </c>
      <c r="C4" s="6">
        <v>0.0</v>
      </c>
      <c r="D4" s="5">
        <v>0.0</v>
      </c>
      <c r="E4" s="6">
        <v>0.0</v>
      </c>
      <c r="F4" s="7" t="str">
        <f t="shared" si="1"/>
        <v>#DIV/0!</v>
      </c>
      <c r="G4" s="8">
        <v>0.0</v>
      </c>
      <c r="H4" s="8">
        <v>0.0</v>
      </c>
    </row>
    <row r="5" ht="15.75" customHeight="1">
      <c r="A5" s="4" t="s">
        <v>11</v>
      </c>
      <c r="B5" s="5">
        <v>0.0</v>
      </c>
      <c r="C5" s="6">
        <v>0.0</v>
      </c>
      <c r="D5" s="5">
        <v>0.0</v>
      </c>
      <c r="E5" s="6">
        <v>0.0</v>
      </c>
      <c r="F5" s="7" t="str">
        <f t="shared" si="1"/>
        <v>#DIV/0!</v>
      </c>
      <c r="G5" s="8">
        <v>0.0</v>
      </c>
      <c r="H5" s="8">
        <v>0.0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H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3" width="13.0"/>
    <col customWidth="1" min="4" max="4" width="12.38"/>
    <col customWidth="1" min="5" max="5" width="12.5"/>
    <col customWidth="1" min="6" max="6" width="13.63"/>
    <col customWidth="1" min="7" max="8" width="12.63"/>
    <col customWidth="1" min="9" max="9" width="14.25"/>
    <col customWidth="1" min="11" max="11" width="28.38"/>
    <col customWidth="1" min="15" max="15" width="14.5"/>
  </cols>
  <sheetData>
    <row r="1" ht="15.75" customHeight="1">
      <c r="A1" s="9" t="s">
        <v>0</v>
      </c>
      <c r="B1" s="10" t="s">
        <v>12</v>
      </c>
      <c r="C1" s="10" t="s">
        <v>13</v>
      </c>
      <c r="D1" s="10" t="s">
        <v>14</v>
      </c>
      <c r="E1" s="9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25</v>
      </c>
    </row>
    <row r="2" ht="15.75" customHeight="1">
      <c r="A2" s="11" t="s">
        <v>8</v>
      </c>
      <c r="B2" s="12">
        <v>0.0</v>
      </c>
      <c r="C2" s="13">
        <v>0.0</v>
      </c>
      <c r="D2" s="12">
        <v>0.0</v>
      </c>
      <c r="E2" s="13">
        <v>0.0</v>
      </c>
      <c r="F2" s="12">
        <v>0.0</v>
      </c>
      <c r="G2" s="13">
        <v>0.0</v>
      </c>
      <c r="H2" s="12">
        <v>0.0</v>
      </c>
      <c r="I2" s="13">
        <v>0.0</v>
      </c>
      <c r="J2" s="12">
        <v>0.0</v>
      </c>
      <c r="K2" s="13">
        <v>0.0</v>
      </c>
      <c r="L2" s="12">
        <v>0.0</v>
      </c>
      <c r="M2" s="13">
        <v>0.0</v>
      </c>
      <c r="N2" s="12">
        <v>0.0</v>
      </c>
      <c r="O2" s="13">
        <v>0.0</v>
      </c>
    </row>
    <row r="3" ht="15.75" customHeight="1">
      <c r="A3" s="11" t="s">
        <v>9</v>
      </c>
      <c r="B3" s="12">
        <v>0.0</v>
      </c>
      <c r="C3" s="13">
        <v>0.0</v>
      </c>
      <c r="D3" s="12">
        <v>0.0</v>
      </c>
      <c r="E3" s="13">
        <v>0.0</v>
      </c>
      <c r="F3" s="12">
        <v>0.0</v>
      </c>
      <c r="G3" s="13">
        <v>0.0</v>
      </c>
      <c r="H3" s="12">
        <v>0.0</v>
      </c>
      <c r="I3" s="13">
        <v>0.0</v>
      </c>
      <c r="J3" s="12">
        <v>0.0</v>
      </c>
      <c r="K3" s="13">
        <v>0.0</v>
      </c>
      <c r="L3" s="12">
        <v>0.0</v>
      </c>
      <c r="M3" s="13">
        <v>0.0</v>
      </c>
      <c r="N3" s="12">
        <v>0.0</v>
      </c>
      <c r="O3" s="13">
        <v>0.0</v>
      </c>
    </row>
    <row r="4" ht="15.75" customHeight="1">
      <c r="A4" s="11" t="s">
        <v>10</v>
      </c>
      <c r="B4" s="12">
        <v>0.0</v>
      </c>
      <c r="C4" s="13">
        <v>0.0</v>
      </c>
      <c r="D4" s="12">
        <v>0.0</v>
      </c>
      <c r="E4" s="13">
        <v>0.0</v>
      </c>
      <c r="F4" s="12">
        <v>0.0</v>
      </c>
      <c r="G4" s="13">
        <v>0.0</v>
      </c>
      <c r="H4" s="12">
        <v>0.0</v>
      </c>
      <c r="I4" s="13">
        <v>0.0</v>
      </c>
      <c r="J4" s="12">
        <v>0.0</v>
      </c>
      <c r="K4" s="13">
        <v>0.0</v>
      </c>
      <c r="L4" s="12">
        <v>0.0</v>
      </c>
      <c r="M4" s="13">
        <v>0.0</v>
      </c>
      <c r="N4" s="12">
        <v>0.0</v>
      </c>
      <c r="O4" s="13">
        <v>0.0</v>
      </c>
    </row>
    <row r="5" ht="15.75" customHeight="1">
      <c r="A5" s="11" t="s">
        <v>11</v>
      </c>
      <c r="B5" s="14">
        <v>0.0</v>
      </c>
      <c r="C5" s="15">
        <v>0.0</v>
      </c>
      <c r="D5" s="14">
        <v>0.0</v>
      </c>
      <c r="E5" s="15">
        <v>0.0</v>
      </c>
      <c r="F5" s="14">
        <v>0.0</v>
      </c>
      <c r="G5" s="15">
        <v>0.0</v>
      </c>
      <c r="H5" s="14">
        <v>0.0</v>
      </c>
      <c r="I5" s="13">
        <v>0.0</v>
      </c>
      <c r="J5" s="14">
        <v>0.0</v>
      </c>
      <c r="K5" s="15">
        <v>0.0</v>
      </c>
      <c r="L5" s="14">
        <v>0.0</v>
      </c>
      <c r="M5" s="15">
        <v>0.0</v>
      </c>
      <c r="N5" s="14">
        <v>0.0</v>
      </c>
      <c r="O5" s="15">
        <v>0.0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D5 F2:O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20.63"/>
    <col customWidth="1" min="3" max="3" width="15.63"/>
    <col customWidth="1" min="4" max="4" width="18.75"/>
    <col customWidth="1" min="5" max="5" width="19.38"/>
    <col customWidth="1" min="6" max="6" width="15.63"/>
    <col customWidth="1" min="7" max="7" width="20.0"/>
    <col customWidth="1" min="8" max="8" width="17.38"/>
    <col customWidth="1" min="9" max="9" width="18.38"/>
    <col customWidth="1" min="10" max="10" width="20.5"/>
  </cols>
  <sheetData>
    <row r="1" ht="15.75" customHeight="1">
      <c r="A1" s="16" t="s">
        <v>0</v>
      </c>
      <c r="B1" s="17" t="s">
        <v>26</v>
      </c>
      <c r="C1" s="17" t="s">
        <v>27</v>
      </c>
      <c r="D1" s="17" t="s">
        <v>28</v>
      </c>
      <c r="E1" s="18" t="s">
        <v>29</v>
      </c>
      <c r="F1" s="19" t="s">
        <v>30</v>
      </c>
      <c r="G1" s="19" t="s">
        <v>31</v>
      </c>
      <c r="H1" s="20" t="s">
        <v>32</v>
      </c>
      <c r="I1" s="21" t="s">
        <v>33</v>
      </c>
      <c r="J1" s="21" t="s">
        <v>34</v>
      </c>
    </row>
    <row r="2" ht="15.75" customHeight="1">
      <c r="A2" s="22" t="s">
        <v>8</v>
      </c>
      <c r="B2" s="23">
        <v>0.0</v>
      </c>
      <c r="C2" s="23">
        <v>0.0</v>
      </c>
      <c r="D2" s="24" t="str">
        <f t="shared" ref="D2:D4" si="1">C2/B2</f>
        <v>#DIV/0!</v>
      </c>
      <c r="E2" s="23">
        <v>0.0</v>
      </c>
      <c r="F2" s="23">
        <v>0.0</v>
      </c>
      <c r="G2" s="24" t="str">
        <f t="shared" ref="G2:G5" si="2">F2/E2</f>
        <v>#DIV/0!</v>
      </c>
      <c r="H2" s="23">
        <v>0.0</v>
      </c>
      <c r="I2" s="23">
        <v>0.0</v>
      </c>
      <c r="J2" s="25" t="str">
        <f t="shared" ref="J2:J5" si="3">I2/H2</f>
        <v>#DIV/0!</v>
      </c>
    </row>
    <row r="3" ht="15.75" customHeight="1">
      <c r="A3" s="22" t="s">
        <v>9</v>
      </c>
      <c r="B3" s="23">
        <v>0.0</v>
      </c>
      <c r="C3" s="26">
        <v>0.0</v>
      </c>
      <c r="D3" s="24" t="str">
        <f t="shared" si="1"/>
        <v>#DIV/0!</v>
      </c>
      <c r="E3" s="23">
        <v>0.0</v>
      </c>
      <c r="F3" s="26">
        <v>0.0</v>
      </c>
      <c r="G3" s="24" t="str">
        <f t="shared" si="2"/>
        <v>#DIV/0!</v>
      </c>
      <c r="H3" s="23">
        <v>0.0</v>
      </c>
      <c r="I3" s="26">
        <v>0.0</v>
      </c>
      <c r="J3" s="25" t="str">
        <f t="shared" si="3"/>
        <v>#DIV/0!</v>
      </c>
    </row>
    <row r="4" ht="15.75" customHeight="1">
      <c r="A4" s="22" t="s">
        <v>10</v>
      </c>
      <c r="B4" s="23">
        <v>0.0</v>
      </c>
      <c r="C4" s="26">
        <v>0.0</v>
      </c>
      <c r="D4" s="24" t="str">
        <f t="shared" si="1"/>
        <v>#DIV/0!</v>
      </c>
      <c r="E4" s="23">
        <v>0.0</v>
      </c>
      <c r="F4" s="23">
        <v>0.0</v>
      </c>
      <c r="G4" s="24" t="str">
        <f t="shared" si="2"/>
        <v>#DIV/0!</v>
      </c>
      <c r="H4" s="23">
        <v>0.0</v>
      </c>
      <c r="I4" s="26">
        <v>0.0</v>
      </c>
      <c r="J4" s="25" t="str">
        <f t="shared" si="3"/>
        <v>#DIV/0!</v>
      </c>
    </row>
    <row r="5" ht="15.75" customHeight="1">
      <c r="A5" s="22" t="s">
        <v>11</v>
      </c>
      <c r="B5" s="26">
        <v>0.0</v>
      </c>
      <c r="C5" s="26">
        <v>0.0</v>
      </c>
      <c r="D5" s="24">
        <v>0.0</v>
      </c>
      <c r="E5" s="23">
        <v>0.0</v>
      </c>
      <c r="F5" s="23">
        <v>0.0</v>
      </c>
      <c r="G5" s="24" t="str">
        <f t="shared" si="2"/>
        <v>#DIV/0!</v>
      </c>
      <c r="H5" s="23">
        <v>0.0</v>
      </c>
      <c r="I5" s="23">
        <v>0.0</v>
      </c>
      <c r="J5" s="25" t="str">
        <f t="shared" si="3"/>
        <v>#DIV/0!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5">
    <cfRule type="notContainsBlanks" dxfId="4" priority="1">
      <formula>LEN(TRIM(J2))&gt;0</formula>
    </cfRule>
  </conditionalFormatting>
  <dataValidations>
    <dataValidation type="custom" allowBlank="1" showDropDown="1" sqref="B2:B5 D2:J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17.5"/>
    <col customWidth="1" min="3" max="3" width="18.38"/>
    <col customWidth="1" min="4" max="5" width="16.13"/>
    <col customWidth="1" min="6" max="6" width="19.38"/>
    <col customWidth="1" min="7" max="7" width="24.0"/>
    <col customWidth="1" min="8" max="8" width="22.88"/>
    <col customWidth="1" min="9" max="9" width="20.38"/>
    <col customWidth="1" min="10" max="10" width="14.25"/>
    <col customWidth="1" min="11" max="11" width="23.63"/>
    <col customWidth="1" min="12" max="12" width="26.5"/>
  </cols>
  <sheetData>
    <row r="1" ht="15.75" customHeight="1">
      <c r="A1" s="22" t="s">
        <v>0</v>
      </c>
      <c r="B1" s="22" t="s">
        <v>35</v>
      </c>
      <c r="C1" s="22" t="s">
        <v>36</v>
      </c>
      <c r="D1" s="22" t="s">
        <v>37</v>
      </c>
      <c r="E1" s="27" t="s">
        <v>38</v>
      </c>
      <c r="F1" s="22" t="s">
        <v>39</v>
      </c>
      <c r="G1" s="22" t="s">
        <v>40</v>
      </c>
      <c r="H1" s="22" t="s">
        <v>41</v>
      </c>
      <c r="I1" s="28" t="s">
        <v>42</v>
      </c>
      <c r="J1" s="22" t="s">
        <v>43</v>
      </c>
      <c r="K1" s="29" t="s">
        <v>44</v>
      </c>
      <c r="L1" s="22" t="s">
        <v>45</v>
      </c>
    </row>
    <row r="2" ht="15.75" customHeight="1">
      <c r="A2" s="30" t="s">
        <v>8</v>
      </c>
      <c r="B2" s="30">
        <v>0.0</v>
      </c>
      <c r="C2" s="30">
        <v>0.0</v>
      </c>
      <c r="D2" s="31">
        <v>0.0</v>
      </c>
      <c r="E2" s="32">
        <f t="shared" ref="E2:E5" si="1">SUM(D2+C2+B2)</f>
        <v>0</v>
      </c>
      <c r="F2" s="30">
        <v>0.0</v>
      </c>
      <c r="G2" s="30">
        <v>0.0</v>
      </c>
      <c r="H2" s="31">
        <v>0.0</v>
      </c>
      <c r="I2" s="32">
        <f t="shared" ref="I2:I5" si="2">SUM(F2:H2)</f>
        <v>0</v>
      </c>
      <c r="J2" s="31">
        <v>0.0</v>
      </c>
      <c r="K2" s="31">
        <v>0.0</v>
      </c>
      <c r="L2" s="7" t="str">
        <f t="shared" ref="L2:L5" si="3">K2/I2</f>
        <v>#DIV/0!</v>
      </c>
    </row>
    <row r="3" ht="15.75" customHeight="1">
      <c r="A3" s="30" t="s">
        <v>9</v>
      </c>
      <c r="B3" s="30">
        <v>0.0</v>
      </c>
      <c r="C3" s="31">
        <v>0.0</v>
      </c>
      <c r="D3" s="31">
        <v>0.0</v>
      </c>
      <c r="E3" s="32">
        <f t="shared" si="1"/>
        <v>0</v>
      </c>
      <c r="F3" s="30">
        <v>0.0</v>
      </c>
      <c r="G3" s="31">
        <v>0.0</v>
      </c>
      <c r="H3" s="31">
        <v>0.0</v>
      </c>
      <c r="I3" s="32">
        <f t="shared" si="2"/>
        <v>0</v>
      </c>
      <c r="J3" s="31">
        <v>0.0</v>
      </c>
      <c r="K3" s="31">
        <v>0.0</v>
      </c>
      <c r="L3" s="7" t="str">
        <f t="shared" si="3"/>
        <v>#DIV/0!</v>
      </c>
    </row>
    <row r="4" ht="15.75" customHeight="1">
      <c r="A4" s="30" t="s">
        <v>10</v>
      </c>
      <c r="B4" s="30">
        <v>0.0</v>
      </c>
      <c r="C4" s="31">
        <v>0.0</v>
      </c>
      <c r="D4" s="31">
        <v>0.0</v>
      </c>
      <c r="E4" s="32">
        <f t="shared" si="1"/>
        <v>0</v>
      </c>
      <c r="F4" s="30">
        <v>0.0</v>
      </c>
      <c r="G4" s="31">
        <v>0.0</v>
      </c>
      <c r="H4" s="31">
        <v>0.0</v>
      </c>
      <c r="I4" s="32">
        <f t="shared" si="2"/>
        <v>0</v>
      </c>
      <c r="J4" s="30">
        <v>0.0</v>
      </c>
      <c r="K4" s="30">
        <v>0.0</v>
      </c>
      <c r="L4" s="7" t="str">
        <f t="shared" si="3"/>
        <v>#DIV/0!</v>
      </c>
    </row>
    <row r="5" ht="15.75" customHeight="1">
      <c r="A5" s="30" t="s">
        <v>11</v>
      </c>
      <c r="B5" s="30">
        <v>0.0</v>
      </c>
      <c r="C5" s="31">
        <v>0.0</v>
      </c>
      <c r="D5" s="31">
        <v>0.0</v>
      </c>
      <c r="E5" s="32">
        <f t="shared" si="1"/>
        <v>0</v>
      </c>
      <c r="F5" s="30">
        <v>0.0</v>
      </c>
      <c r="G5" s="31">
        <v>0.0</v>
      </c>
      <c r="H5" s="31">
        <v>0.0</v>
      </c>
      <c r="I5" s="32">
        <f t="shared" si="2"/>
        <v>0</v>
      </c>
      <c r="J5" s="30">
        <v>0.0</v>
      </c>
      <c r="K5" s="30">
        <v>0.0</v>
      </c>
      <c r="L5" s="7" t="str">
        <f t="shared" si="3"/>
        <v>#DIV/0!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G2:I5 K2:L5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17.5"/>
    <col customWidth="1" min="3" max="3" width="14.25"/>
    <col customWidth="1" min="4" max="4" width="23.63"/>
    <col customWidth="1" min="5" max="5" width="26.5"/>
    <col customWidth="1" min="6" max="6" width="12.63"/>
  </cols>
  <sheetData>
    <row r="1" ht="15.75" customHeight="1">
      <c r="A1" s="22" t="s">
        <v>0</v>
      </c>
      <c r="B1" s="22" t="s">
        <v>46</v>
      </c>
      <c r="C1" s="22" t="s">
        <v>43</v>
      </c>
      <c r="D1" s="29" t="s">
        <v>44</v>
      </c>
      <c r="E1" s="22" t="s">
        <v>45</v>
      </c>
    </row>
    <row r="2" ht="15.75" customHeight="1">
      <c r="A2" s="30" t="s">
        <v>8</v>
      </c>
      <c r="B2" s="33">
        <f>131362.66+6423</f>
        <v>137785.66</v>
      </c>
      <c r="C2" s="30">
        <v>15.0</v>
      </c>
      <c r="D2" s="30">
        <v>4060.8</v>
      </c>
      <c r="E2" s="7">
        <f t="shared" ref="E2:E5" si="1">D2/B2</f>
        <v>0.02947186231</v>
      </c>
    </row>
    <row r="3" ht="15.75" customHeight="1">
      <c r="A3" s="30" t="s">
        <v>9</v>
      </c>
      <c r="B3" s="33">
        <f>156192.32+5574.13</f>
        <v>161766.45</v>
      </c>
      <c r="C3" s="30">
        <v>16.0</v>
      </c>
      <c r="D3" s="30">
        <f>2983.36+894.6</f>
        <v>3877.96</v>
      </c>
      <c r="E3" s="7">
        <f t="shared" si="1"/>
        <v>0.02397258517</v>
      </c>
    </row>
    <row r="4" ht="15.75" customHeight="1">
      <c r="A4" s="30" t="s">
        <v>10</v>
      </c>
      <c r="B4" s="33">
        <f>92545.15+5778.63</f>
        <v>98323.78</v>
      </c>
      <c r="C4" s="30">
        <v>5.0</v>
      </c>
      <c r="D4" s="30">
        <v>1028.1</v>
      </c>
      <c r="E4" s="7">
        <f t="shared" si="1"/>
        <v>0.01045627009</v>
      </c>
    </row>
    <row r="5" ht="15.75" customHeight="1">
      <c r="A5" s="30" t="s">
        <v>11</v>
      </c>
      <c r="B5" s="33">
        <f>159038.38+1579</f>
        <v>160617.38</v>
      </c>
      <c r="C5" s="30">
        <v>8.0</v>
      </c>
      <c r="D5" s="30">
        <v>1670.87</v>
      </c>
      <c r="E5" s="7">
        <f t="shared" si="1"/>
        <v>0.01040279701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5 D2:E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0"/>
    <col customWidth="1" min="2" max="2" width="33.25"/>
    <col customWidth="1" min="3" max="3" width="20.88"/>
    <col customWidth="1" min="4" max="4" width="8.75"/>
    <col customWidth="1" min="5" max="5" width="12.63"/>
    <col customWidth="1" min="6" max="6" width="12.88"/>
  </cols>
  <sheetData>
    <row r="1" ht="15.75" customHeight="1">
      <c r="A1" s="34" t="s">
        <v>47</v>
      </c>
      <c r="B1" s="34" t="s">
        <v>48</v>
      </c>
      <c r="C1" s="35"/>
      <c r="D1" s="35"/>
      <c r="E1" s="35"/>
    </row>
    <row r="2" ht="15.75" customHeight="1">
      <c r="A2" s="36" t="s">
        <v>49</v>
      </c>
      <c r="B2" s="37">
        <v>0.0</v>
      </c>
      <c r="E2" s="38"/>
    </row>
    <row r="3" ht="15.75" customHeight="1">
      <c r="A3" s="36" t="s">
        <v>50</v>
      </c>
      <c r="B3" s="37">
        <v>0.0</v>
      </c>
      <c r="E3" s="38"/>
    </row>
    <row r="4" ht="15.75" customHeight="1">
      <c r="A4" s="36" t="s">
        <v>51</v>
      </c>
      <c r="B4" s="37">
        <v>0.0</v>
      </c>
      <c r="E4" s="38"/>
    </row>
    <row r="5" ht="15.75" customHeight="1">
      <c r="A5" s="36" t="s">
        <v>52</v>
      </c>
      <c r="B5" s="37">
        <v>1.0</v>
      </c>
      <c r="E5" s="38"/>
    </row>
    <row r="6" ht="15.75" customHeight="1">
      <c r="A6" s="36" t="s">
        <v>53</v>
      </c>
      <c r="B6" s="37">
        <v>0.0</v>
      </c>
      <c r="E6" s="38"/>
    </row>
    <row r="7" ht="15.75" customHeight="1">
      <c r="A7" s="36" t="s">
        <v>54</v>
      </c>
      <c r="B7" s="37">
        <v>0.0</v>
      </c>
    </row>
    <row r="8" ht="15.75" customHeight="1">
      <c r="A8" s="36" t="s">
        <v>55</v>
      </c>
      <c r="B8" s="37">
        <v>0.0</v>
      </c>
    </row>
    <row r="9" ht="15.75" customHeight="1">
      <c r="A9" s="36" t="s">
        <v>56</v>
      </c>
      <c r="B9" s="37">
        <v>6.0</v>
      </c>
    </row>
    <row r="10" ht="15.75" customHeight="1">
      <c r="A10" s="36" t="s">
        <v>57</v>
      </c>
      <c r="B10" s="37">
        <v>0.0</v>
      </c>
    </row>
    <row r="11" ht="15.75" customHeight="1">
      <c r="A11" s="36" t="s">
        <v>58</v>
      </c>
      <c r="B11" s="37">
        <v>1.0</v>
      </c>
    </row>
    <row r="12" ht="15.75" customHeight="1">
      <c r="A12" s="36" t="s">
        <v>59</v>
      </c>
      <c r="B12" s="37">
        <v>0.0</v>
      </c>
    </row>
    <row r="13" ht="15.75" customHeight="1">
      <c r="A13" s="36" t="s">
        <v>60</v>
      </c>
      <c r="B13" s="37">
        <v>0.0</v>
      </c>
    </row>
    <row r="14" ht="15.75" customHeight="1">
      <c r="A14" s="36" t="s">
        <v>61</v>
      </c>
      <c r="B14" s="37">
        <v>2.0</v>
      </c>
      <c r="C14" s="36"/>
      <c r="D14" s="36"/>
      <c r="E14" s="36"/>
      <c r="F14" s="36"/>
    </row>
    <row r="15" ht="15.75" customHeight="1">
      <c r="A15" s="36" t="s">
        <v>62</v>
      </c>
      <c r="B15" s="37">
        <v>6.0</v>
      </c>
      <c r="C15" s="36"/>
      <c r="D15" s="36"/>
      <c r="E15" s="36"/>
      <c r="F15" s="36"/>
    </row>
    <row r="16" ht="15.75" customHeight="1">
      <c r="A16" s="36" t="s">
        <v>63</v>
      </c>
      <c r="B16" s="37">
        <v>6.0</v>
      </c>
      <c r="C16" s="36"/>
      <c r="D16" s="36"/>
      <c r="E16" s="36"/>
      <c r="F16" s="36"/>
    </row>
    <row r="17" ht="15.75" customHeight="1">
      <c r="A17" s="36" t="s">
        <v>64</v>
      </c>
      <c r="B17" s="37">
        <v>1.0</v>
      </c>
      <c r="C17" s="36"/>
      <c r="D17" s="36"/>
      <c r="E17" s="36"/>
      <c r="F17" s="36"/>
    </row>
    <row r="18" ht="15.75" customHeight="1">
      <c r="A18" s="36"/>
      <c r="B18" s="36"/>
      <c r="C18" s="36"/>
      <c r="D18" s="36"/>
      <c r="E18" s="36"/>
      <c r="F18" s="3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17">
      <formula1>"1,2,3,4,5,6,7,8,9"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0"/>
    <col customWidth="1" min="2" max="2" width="33.25"/>
    <col customWidth="1" min="3" max="3" width="20.88"/>
    <col customWidth="1" min="4" max="4" width="19.75"/>
    <col customWidth="1" min="5" max="5" width="15.5"/>
    <col customWidth="1" min="6" max="6" width="18.0"/>
  </cols>
  <sheetData>
    <row r="1" ht="15.75" customHeight="1">
      <c r="A1" s="34" t="s">
        <v>47</v>
      </c>
      <c r="B1" s="34" t="s">
        <v>48</v>
      </c>
      <c r="C1" s="35"/>
      <c r="D1" s="35"/>
      <c r="E1" s="35"/>
    </row>
    <row r="2" ht="15.75" customHeight="1">
      <c r="A2" s="36" t="s">
        <v>49</v>
      </c>
      <c r="B2" s="37">
        <v>0.0</v>
      </c>
      <c r="E2" s="38"/>
    </row>
    <row r="3" ht="15.75" customHeight="1">
      <c r="A3" s="36" t="s">
        <v>50</v>
      </c>
      <c r="B3" s="37">
        <v>0.0</v>
      </c>
      <c r="E3" s="38"/>
    </row>
    <row r="4" ht="15.75" customHeight="1">
      <c r="A4" s="36" t="s">
        <v>51</v>
      </c>
      <c r="B4" s="37">
        <v>0.0</v>
      </c>
      <c r="E4" s="38"/>
    </row>
    <row r="5" ht="15.75" customHeight="1">
      <c r="A5" s="36" t="s">
        <v>52</v>
      </c>
      <c r="B5" s="37">
        <v>1.0</v>
      </c>
      <c r="E5" s="38"/>
    </row>
    <row r="6" ht="15.75" customHeight="1">
      <c r="A6" s="36" t="s">
        <v>53</v>
      </c>
      <c r="B6" s="37">
        <v>0.0</v>
      </c>
      <c r="E6" s="38"/>
    </row>
    <row r="7" ht="15.75" customHeight="1">
      <c r="A7" s="36" t="s">
        <v>54</v>
      </c>
      <c r="B7" s="37">
        <v>0.0</v>
      </c>
    </row>
    <row r="8" ht="15.75" customHeight="1">
      <c r="A8" s="36" t="s">
        <v>55</v>
      </c>
      <c r="B8" s="37">
        <v>0.0</v>
      </c>
    </row>
    <row r="9" ht="15.75" customHeight="1">
      <c r="A9" s="36" t="s">
        <v>56</v>
      </c>
      <c r="B9" s="37">
        <v>6.0</v>
      </c>
    </row>
    <row r="10" ht="15.75" customHeight="1">
      <c r="A10" s="36" t="s">
        <v>57</v>
      </c>
      <c r="B10" s="37">
        <v>0.0</v>
      </c>
    </row>
    <row r="11" ht="15.75" customHeight="1">
      <c r="A11" s="36" t="s">
        <v>58</v>
      </c>
      <c r="B11" s="37">
        <v>1.0</v>
      </c>
    </row>
    <row r="12" ht="15.75" customHeight="1">
      <c r="A12" s="36" t="s">
        <v>59</v>
      </c>
      <c r="B12" s="37">
        <v>0.0</v>
      </c>
    </row>
    <row r="13" ht="15.75" customHeight="1">
      <c r="A13" s="36" t="s">
        <v>60</v>
      </c>
      <c r="B13" s="37">
        <v>0.0</v>
      </c>
    </row>
    <row r="14" ht="15.75" customHeight="1">
      <c r="A14" s="36" t="s">
        <v>61</v>
      </c>
      <c r="B14" s="37">
        <v>2.0</v>
      </c>
      <c r="C14" s="36"/>
      <c r="D14" s="36"/>
      <c r="E14" s="36"/>
      <c r="F14" s="36"/>
    </row>
    <row r="15" ht="15.75" customHeight="1">
      <c r="A15" s="36" t="s">
        <v>62</v>
      </c>
      <c r="B15" s="37">
        <v>6.0</v>
      </c>
      <c r="C15" s="36"/>
      <c r="D15" s="36"/>
      <c r="E15" s="36"/>
      <c r="F15" s="36"/>
    </row>
    <row r="16" ht="15.75" customHeight="1">
      <c r="A16" s="36" t="s">
        <v>63</v>
      </c>
      <c r="B16" s="37">
        <v>6.0</v>
      </c>
      <c r="C16" s="36"/>
      <c r="D16" s="36"/>
      <c r="E16" s="36"/>
      <c r="F16" s="36"/>
    </row>
    <row r="17" ht="15.75" customHeight="1">
      <c r="A17" s="36" t="s">
        <v>64</v>
      </c>
      <c r="B17" s="37">
        <v>1.0</v>
      </c>
      <c r="C17" s="36"/>
      <c r="D17" s="36"/>
      <c r="E17" s="36"/>
      <c r="F17" s="36"/>
    </row>
    <row r="18" ht="15.75" customHeight="1">
      <c r="A18" s="36"/>
      <c r="B18" s="36"/>
      <c r="C18" s="36"/>
      <c r="D18" s="36"/>
      <c r="E18" s="36"/>
      <c r="F18" s="3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17">
      <formula1>"1,2,3,4,5,6,7,8,9,12"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13"/>
    <col customWidth="1" min="3" max="3" width="17.25"/>
    <col customWidth="1" min="4" max="6" width="12.63"/>
  </cols>
  <sheetData>
    <row r="1" ht="15.75" customHeight="1">
      <c r="A1" s="39" t="s">
        <v>65</v>
      </c>
      <c r="B1" s="39" t="s">
        <v>66</v>
      </c>
      <c r="C1" s="39" t="s">
        <v>67</v>
      </c>
      <c r="D1" s="39" t="s">
        <v>68</v>
      </c>
      <c r="E1" s="39" t="s">
        <v>69</v>
      </c>
    </row>
    <row r="2" ht="15.75" customHeight="1">
      <c r="A2" s="39" t="s">
        <v>70</v>
      </c>
      <c r="B2" s="39" t="s">
        <v>71</v>
      </c>
      <c r="C2" s="39" t="s">
        <v>72</v>
      </c>
      <c r="D2" s="39"/>
      <c r="E2" s="39"/>
    </row>
    <row r="3" ht="15.75" customHeight="1">
      <c r="A3" s="39" t="s">
        <v>70</v>
      </c>
      <c r="B3" s="39" t="s">
        <v>73</v>
      </c>
      <c r="C3" s="39" t="s">
        <v>74</v>
      </c>
      <c r="D3" s="39"/>
      <c r="E3" s="39"/>
    </row>
    <row r="4" ht="15.75" customHeight="1">
      <c r="A4" s="39" t="s">
        <v>70</v>
      </c>
      <c r="B4" s="39" t="s">
        <v>75</v>
      </c>
      <c r="C4" s="39" t="s">
        <v>76</v>
      </c>
      <c r="D4" s="39"/>
      <c r="E4" s="39"/>
    </row>
    <row r="5" ht="15.75" customHeight="1">
      <c r="A5" s="39" t="s">
        <v>70</v>
      </c>
      <c r="B5" s="39" t="s">
        <v>77</v>
      </c>
      <c r="C5" s="39" t="s">
        <v>78</v>
      </c>
      <c r="D5" s="39"/>
      <c r="E5" s="39"/>
    </row>
    <row r="6" ht="15.75" customHeight="1">
      <c r="A6" s="39" t="s">
        <v>70</v>
      </c>
      <c r="B6" s="39" t="s">
        <v>79</v>
      </c>
      <c r="C6" s="39" t="s">
        <v>80</v>
      </c>
      <c r="D6" s="39"/>
      <c r="E6" s="39"/>
    </row>
    <row r="7" ht="15.75" customHeight="1">
      <c r="A7" s="39" t="s">
        <v>81</v>
      </c>
      <c r="B7" s="39" t="s">
        <v>77</v>
      </c>
      <c r="C7" s="39" t="s">
        <v>82</v>
      </c>
      <c r="D7" s="39"/>
      <c r="E7" s="39"/>
    </row>
    <row r="8" ht="15.75" customHeight="1">
      <c r="A8" s="39" t="s">
        <v>81</v>
      </c>
      <c r="B8" s="39" t="s">
        <v>83</v>
      </c>
      <c r="C8" s="39" t="s">
        <v>84</v>
      </c>
      <c r="D8" s="39"/>
      <c r="E8" s="39"/>
    </row>
    <row r="9" ht="15.75" customHeight="1">
      <c r="A9" s="39" t="s">
        <v>81</v>
      </c>
      <c r="B9" s="39" t="s">
        <v>85</v>
      </c>
      <c r="C9" s="39" t="s">
        <v>86</v>
      </c>
      <c r="D9" s="39"/>
      <c r="E9" s="39"/>
    </row>
    <row r="10" ht="15.75" customHeight="1">
      <c r="A10" s="39" t="s">
        <v>81</v>
      </c>
      <c r="B10" s="39" t="s">
        <v>87</v>
      </c>
      <c r="C10" s="39" t="s">
        <v>76</v>
      </c>
      <c r="D10" s="39"/>
      <c r="E10" s="39"/>
    </row>
    <row r="11" ht="15.75" customHeight="1">
      <c r="A11" s="39" t="s">
        <v>81</v>
      </c>
      <c r="B11" s="39" t="s">
        <v>77</v>
      </c>
      <c r="C11" s="39" t="s">
        <v>78</v>
      </c>
      <c r="D11" s="39"/>
      <c r="E11" s="39"/>
    </row>
    <row r="12" ht="15.75" customHeight="1">
      <c r="A12" s="39" t="s">
        <v>81</v>
      </c>
      <c r="B12" s="39" t="s">
        <v>79</v>
      </c>
      <c r="C12" s="39" t="s">
        <v>80</v>
      </c>
      <c r="D12" s="39"/>
      <c r="E12" s="39"/>
    </row>
    <row r="13" ht="15.75" customHeight="1">
      <c r="A13" s="39" t="s">
        <v>88</v>
      </c>
      <c r="B13" s="39" t="s">
        <v>89</v>
      </c>
      <c r="C13" s="39" t="s">
        <v>90</v>
      </c>
      <c r="D13" s="39"/>
      <c r="E13" s="39"/>
    </row>
    <row r="14" ht="15.75" customHeight="1">
      <c r="A14" s="39" t="s">
        <v>88</v>
      </c>
      <c r="B14" s="39" t="s">
        <v>79</v>
      </c>
      <c r="C14" s="39" t="s">
        <v>80</v>
      </c>
      <c r="D14" s="39"/>
      <c r="E14" s="39"/>
    </row>
    <row r="15" ht="15.75" customHeight="1">
      <c r="A15" s="39"/>
      <c r="B15" s="39"/>
      <c r="C15" s="39"/>
      <c r="D15" s="39"/>
      <c r="E15" s="39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0"/>
  <cols>
    <col customWidth="1" min="1" max="3" width="12.63"/>
    <col customWidth="1" min="4" max="4" width="13.75"/>
    <col customWidth="1" min="5" max="6" width="12.63"/>
  </cols>
  <sheetData>
    <row r="1" ht="15.75" customHeight="1">
      <c r="A1" s="40" t="s">
        <v>91</v>
      </c>
      <c r="B1" s="41"/>
      <c r="C1" s="42"/>
      <c r="D1" s="43"/>
      <c r="E1" s="44" t="s">
        <v>92</v>
      </c>
      <c r="F1" s="45"/>
      <c r="G1" s="45"/>
      <c r="H1" s="46" t="s">
        <v>93</v>
      </c>
      <c r="I1" s="47"/>
      <c r="J1" s="48"/>
      <c r="K1" s="46" t="s">
        <v>94</v>
      </c>
      <c r="L1" s="47"/>
      <c r="M1" s="48"/>
      <c r="N1" s="46" t="s">
        <v>95</v>
      </c>
      <c r="O1" s="47"/>
      <c r="P1" s="48"/>
      <c r="Q1" s="46" t="s">
        <v>96</v>
      </c>
      <c r="R1" s="47"/>
      <c r="S1" s="48"/>
    </row>
    <row r="2" ht="15.75" customHeight="1">
      <c r="A2" s="49"/>
      <c r="B2" s="50"/>
      <c r="C2" s="51"/>
      <c r="D2" s="52" t="s">
        <v>97</v>
      </c>
      <c r="E2" s="52" t="s">
        <v>98</v>
      </c>
      <c r="F2" s="52" t="s">
        <v>99</v>
      </c>
      <c r="G2" s="52" t="s">
        <v>100</v>
      </c>
      <c r="H2" s="52" t="s">
        <v>98</v>
      </c>
      <c r="I2" s="52" t="s">
        <v>99</v>
      </c>
      <c r="J2" s="52" t="s">
        <v>100</v>
      </c>
      <c r="K2" s="52" t="s">
        <v>98</v>
      </c>
      <c r="L2" s="52" t="s">
        <v>99</v>
      </c>
      <c r="M2" s="52" t="s">
        <v>100</v>
      </c>
      <c r="N2" s="52" t="s">
        <v>98</v>
      </c>
      <c r="O2" s="52" t="s">
        <v>99</v>
      </c>
      <c r="P2" s="52" t="s">
        <v>100</v>
      </c>
      <c r="Q2" s="52" t="s">
        <v>98</v>
      </c>
      <c r="R2" s="52" t="s">
        <v>99</v>
      </c>
      <c r="S2" s="52" t="s">
        <v>100</v>
      </c>
    </row>
    <row r="3" ht="15.75" customHeight="1">
      <c r="A3" s="53" t="s">
        <v>101</v>
      </c>
      <c r="D3" s="54" t="s">
        <v>102</v>
      </c>
      <c r="E3" s="54">
        <v>80.0</v>
      </c>
      <c r="F3" s="55">
        <v>0.0</v>
      </c>
      <c r="G3" s="56">
        <f t="shared" ref="G3:G14" si="1">F3/E3</f>
        <v>0</v>
      </c>
      <c r="H3" s="54">
        <v>0.0</v>
      </c>
      <c r="I3" s="55">
        <v>0.0</v>
      </c>
      <c r="J3" s="57" t="str">
        <f t="shared" ref="J3:J14" si="2">I3/H3</f>
        <v>#DIV/0!</v>
      </c>
      <c r="K3" s="55">
        <v>0.0</v>
      </c>
      <c r="L3" s="55">
        <v>0.0</v>
      </c>
      <c r="M3" s="57" t="str">
        <f t="shared" ref="M3:M14" si="3">L3/K3</f>
        <v>#DIV/0!</v>
      </c>
      <c r="N3" s="55">
        <v>0.0</v>
      </c>
      <c r="O3" s="55">
        <v>0.0</v>
      </c>
      <c r="P3" s="57" t="str">
        <f t="shared" ref="P3:P14" si="4">O3/N3</f>
        <v>#DIV/0!</v>
      </c>
      <c r="Q3" s="55">
        <v>0.0</v>
      </c>
      <c r="R3" s="55">
        <v>0.0</v>
      </c>
      <c r="S3" s="57" t="str">
        <f t="shared" ref="S3:S14" si="5">R3/Q3</f>
        <v>#DIV/0!</v>
      </c>
    </row>
    <row r="4" ht="15.75" customHeight="1">
      <c r="A4" s="53" t="s">
        <v>103</v>
      </c>
      <c r="D4" s="54" t="s">
        <v>102</v>
      </c>
      <c r="E4" s="54">
        <v>4.0</v>
      </c>
      <c r="F4" s="55">
        <v>0.0</v>
      </c>
      <c r="G4" s="56">
        <f t="shared" si="1"/>
        <v>0</v>
      </c>
      <c r="H4" s="54">
        <v>1.0</v>
      </c>
      <c r="I4" s="55">
        <v>0.0</v>
      </c>
      <c r="J4" s="57">
        <f t="shared" si="2"/>
        <v>0</v>
      </c>
      <c r="K4" s="55">
        <v>1.0</v>
      </c>
      <c r="L4" s="55">
        <v>0.0</v>
      </c>
      <c r="M4" s="57">
        <f t="shared" si="3"/>
        <v>0</v>
      </c>
      <c r="N4" s="55">
        <v>1.0</v>
      </c>
      <c r="O4" s="55">
        <v>0.0</v>
      </c>
      <c r="P4" s="57">
        <f t="shared" si="4"/>
        <v>0</v>
      </c>
      <c r="Q4" s="55">
        <v>1.0</v>
      </c>
      <c r="R4" s="55">
        <v>0.0</v>
      </c>
      <c r="S4" s="57">
        <f t="shared" si="5"/>
        <v>0</v>
      </c>
    </row>
    <row r="5" ht="15.75" customHeight="1">
      <c r="A5" s="53" t="s">
        <v>104</v>
      </c>
      <c r="D5" s="54" t="s">
        <v>105</v>
      </c>
      <c r="E5" s="58">
        <v>0.91</v>
      </c>
      <c r="F5" s="59">
        <v>0.931</v>
      </c>
      <c r="G5" s="56">
        <f t="shared" si="1"/>
        <v>1.023076923</v>
      </c>
      <c r="H5" s="58">
        <v>0.91</v>
      </c>
      <c r="I5" s="55">
        <v>0.0</v>
      </c>
      <c r="J5" s="57">
        <f t="shared" si="2"/>
        <v>0</v>
      </c>
      <c r="K5" s="58">
        <v>0.91</v>
      </c>
      <c r="L5" s="55">
        <v>0.0</v>
      </c>
      <c r="M5" s="57">
        <f t="shared" si="3"/>
        <v>0</v>
      </c>
      <c r="N5" s="58">
        <v>0.91</v>
      </c>
      <c r="O5" s="55">
        <v>0.0</v>
      </c>
      <c r="P5" s="57">
        <f t="shared" si="4"/>
        <v>0</v>
      </c>
      <c r="Q5" s="58">
        <v>0.91</v>
      </c>
      <c r="R5" s="55">
        <v>0.0</v>
      </c>
      <c r="S5" s="57">
        <f t="shared" si="5"/>
        <v>0</v>
      </c>
    </row>
    <row r="6" ht="15.75" customHeight="1">
      <c r="A6" s="53" t="s">
        <v>106</v>
      </c>
      <c r="D6" s="54" t="s">
        <v>105</v>
      </c>
      <c r="E6" s="58">
        <v>0.05</v>
      </c>
      <c r="F6" s="55">
        <v>0.0</v>
      </c>
      <c r="G6" s="57">
        <f t="shared" si="1"/>
        <v>0</v>
      </c>
      <c r="H6" s="54">
        <v>0.0</v>
      </c>
      <c r="I6" s="55">
        <v>0.0</v>
      </c>
      <c r="J6" s="57" t="str">
        <f t="shared" si="2"/>
        <v>#DIV/0!</v>
      </c>
      <c r="K6" s="55">
        <v>0.0</v>
      </c>
      <c r="L6" s="55">
        <v>0.0</v>
      </c>
      <c r="M6" s="57" t="str">
        <f t="shared" si="3"/>
        <v>#DIV/0!</v>
      </c>
      <c r="N6" s="55">
        <v>0.0</v>
      </c>
      <c r="O6" s="55">
        <v>0.0</v>
      </c>
      <c r="P6" s="57" t="str">
        <f t="shared" si="4"/>
        <v>#DIV/0!</v>
      </c>
      <c r="Q6" s="55">
        <v>0.0</v>
      </c>
      <c r="R6" s="55">
        <v>0.0</v>
      </c>
      <c r="S6" s="57" t="str">
        <f t="shared" si="5"/>
        <v>#DIV/0!</v>
      </c>
    </row>
    <row r="7" ht="15.75" customHeight="1">
      <c r="A7" s="53" t="s">
        <v>87</v>
      </c>
      <c r="D7" s="54" t="s">
        <v>105</v>
      </c>
      <c r="E7" s="54">
        <v>75.0</v>
      </c>
      <c r="F7" s="55">
        <v>0.0</v>
      </c>
      <c r="G7" s="57">
        <f t="shared" si="1"/>
        <v>0</v>
      </c>
      <c r="H7" s="54">
        <v>0.0</v>
      </c>
      <c r="I7" s="55">
        <v>0.0</v>
      </c>
      <c r="J7" s="57" t="str">
        <f t="shared" si="2"/>
        <v>#DIV/0!</v>
      </c>
      <c r="K7" s="55">
        <v>0.0</v>
      </c>
      <c r="L7" s="55">
        <v>0.0</v>
      </c>
      <c r="M7" s="57" t="str">
        <f t="shared" si="3"/>
        <v>#DIV/0!</v>
      </c>
      <c r="N7" s="55">
        <v>0.0</v>
      </c>
      <c r="O7" s="55">
        <v>0.0</v>
      </c>
      <c r="P7" s="57" t="str">
        <f t="shared" si="4"/>
        <v>#DIV/0!</v>
      </c>
      <c r="Q7" s="55">
        <v>0.0</v>
      </c>
      <c r="R7" s="55">
        <v>0.0</v>
      </c>
      <c r="S7" s="57" t="str">
        <f t="shared" si="5"/>
        <v>#DIV/0!</v>
      </c>
    </row>
    <row r="8" ht="15.75" customHeight="1">
      <c r="A8" s="53" t="s">
        <v>107</v>
      </c>
      <c r="D8" s="54" t="s">
        <v>105</v>
      </c>
      <c r="E8" s="58">
        <v>0.2</v>
      </c>
      <c r="F8" s="55">
        <v>0.0</v>
      </c>
      <c r="G8" s="56">
        <f t="shared" si="1"/>
        <v>0</v>
      </c>
      <c r="H8" s="54">
        <v>0.0</v>
      </c>
      <c r="I8" s="55">
        <v>0.0</v>
      </c>
      <c r="J8" s="57" t="str">
        <f t="shared" si="2"/>
        <v>#DIV/0!</v>
      </c>
      <c r="K8" s="55">
        <v>0.0</v>
      </c>
      <c r="L8" s="55">
        <v>0.0</v>
      </c>
      <c r="M8" s="57" t="str">
        <f t="shared" si="3"/>
        <v>#DIV/0!</v>
      </c>
      <c r="N8" s="55">
        <v>0.0</v>
      </c>
      <c r="O8" s="55">
        <v>0.0</v>
      </c>
      <c r="P8" s="57" t="str">
        <f t="shared" si="4"/>
        <v>#DIV/0!</v>
      </c>
      <c r="Q8" s="55">
        <v>0.0</v>
      </c>
      <c r="R8" s="55">
        <v>0.0</v>
      </c>
      <c r="S8" s="57" t="str">
        <f t="shared" si="5"/>
        <v>#DIV/0!</v>
      </c>
      <c r="T8" s="39"/>
      <c r="U8" s="39"/>
      <c r="V8" s="39"/>
      <c r="W8" s="39"/>
      <c r="X8" s="39"/>
    </row>
    <row r="9" ht="15.75" customHeight="1">
      <c r="A9" s="53" t="s">
        <v>103</v>
      </c>
      <c r="D9" s="54" t="s">
        <v>105</v>
      </c>
      <c r="E9" s="54">
        <v>4.0</v>
      </c>
      <c r="F9" s="55">
        <v>0.0</v>
      </c>
      <c r="G9" s="56">
        <f t="shared" si="1"/>
        <v>0</v>
      </c>
      <c r="H9" s="54">
        <v>1.0</v>
      </c>
      <c r="I9" s="55">
        <v>0.0</v>
      </c>
      <c r="J9" s="57">
        <f t="shared" si="2"/>
        <v>0</v>
      </c>
      <c r="K9" s="55">
        <v>1.0</v>
      </c>
      <c r="L9" s="55">
        <v>0.0</v>
      </c>
      <c r="M9" s="57">
        <f t="shared" si="3"/>
        <v>0</v>
      </c>
      <c r="N9" s="55">
        <v>1.0</v>
      </c>
      <c r="O9" s="55">
        <v>0.0</v>
      </c>
      <c r="P9" s="57">
        <f t="shared" si="4"/>
        <v>0</v>
      </c>
      <c r="Q9" s="55">
        <v>1.0</v>
      </c>
      <c r="R9" s="55">
        <v>0.0</v>
      </c>
      <c r="S9" s="57">
        <f t="shared" si="5"/>
        <v>0</v>
      </c>
      <c r="T9" s="39"/>
      <c r="U9" s="39"/>
      <c r="V9" s="39"/>
      <c r="W9" s="39"/>
      <c r="X9" s="39"/>
    </row>
    <row r="10" ht="15.75" customHeight="1">
      <c r="A10" s="53" t="s">
        <v>108</v>
      </c>
      <c r="D10" s="54" t="s">
        <v>109</v>
      </c>
      <c r="E10" s="54">
        <v>104.0</v>
      </c>
      <c r="F10" s="55">
        <v>103.0</v>
      </c>
      <c r="G10" s="56">
        <f t="shared" si="1"/>
        <v>0.9903846154</v>
      </c>
      <c r="H10" s="54">
        <v>17.0</v>
      </c>
      <c r="I10" s="55">
        <v>16.0</v>
      </c>
      <c r="J10" s="56">
        <f t="shared" si="2"/>
        <v>0.9411764706</v>
      </c>
      <c r="K10" s="55">
        <v>21.0</v>
      </c>
      <c r="L10" s="55">
        <v>21.0</v>
      </c>
      <c r="M10" s="56">
        <f t="shared" si="3"/>
        <v>1</v>
      </c>
      <c r="N10" s="55">
        <v>35.0</v>
      </c>
      <c r="O10" s="55">
        <v>32.0</v>
      </c>
      <c r="P10" s="56">
        <f t="shared" si="4"/>
        <v>0.9142857143</v>
      </c>
      <c r="Q10" s="55">
        <v>32.0</v>
      </c>
      <c r="R10" s="55">
        <v>32.0</v>
      </c>
      <c r="S10" s="56">
        <f t="shared" si="5"/>
        <v>1</v>
      </c>
      <c r="T10" s="39"/>
      <c r="U10" s="39"/>
      <c r="V10" s="39"/>
      <c r="W10" s="39"/>
      <c r="X10" s="39"/>
    </row>
    <row r="11" ht="15.75" customHeight="1">
      <c r="A11" s="53" t="s">
        <v>106</v>
      </c>
      <c r="D11" s="54" t="s">
        <v>109</v>
      </c>
      <c r="E11" s="58">
        <v>0.03</v>
      </c>
      <c r="F11" s="55">
        <v>0.0</v>
      </c>
      <c r="G11" s="56">
        <f t="shared" si="1"/>
        <v>0</v>
      </c>
      <c r="H11" s="54">
        <v>0.0</v>
      </c>
      <c r="I11" s="55">
        <v>0.0</v>
      </c>
      <c r="J11" s="57" t="str">
        <f t="shared" si="2"/>
        <v>#DIV/0!</v>
      </c>
      <c r="K11" s="55">
        <v>0.0</v>
      </c>
      <c r="L11" s="55">
        <v>0.0</v>
      </c>
      <c r="M11" s="57" t="str">
        <f t="shared" si="3"/>
        <v>#DIV/0!</v>
      </c>
      <c r="N11" s="55">
        <v>0.0</v>
      </c>
      <c r="O11" s="55">
        <v>0.0</v>
      </c>
      <c r="P11" s="57" t="str">
        <f t="shared" si="4"/>
        <v>#DIV/0!</v>
      </c>
      <c r="Q11" s="55">
        <v>0.0</v>
      </c>
      <c r="R11" s="55">
        <v>0.0</v>
      </c>
      <c r="S11" s="57" t="str">
        <f t="shared" si="5"/>
        <v>#DIV/0!</v>
      </c>
      <c r="T11" s="39"/>
      <c r="U11" s="39"/>
      <c r="V11" s="39"/>
      <c r="W11" s="39"/>
      <c r="X11" s="39"/>
    </row>
    <row r="12" ht="15.75" customHeight="1">
      <c r="A12" s="53" t="s">
        <v>103</v>
      </c>
      <c r="D12" s="54" t="s">
        <v>109</v>
      </c>
      <c r="E12" s="54">
        <v>4.0</v>
      </c>
      <c r="F12" s="55">
        <v>0.0</v>
      </c>
      <c r="G12" s="56">
        <f t="shared" si="1"/>
        <v>0</v>
      </c>
      <c r="H12" s="54">
        <v>1.0</v>
      </c>
      <c r="I12" s="55">
        <v>0.0</v>
      </c>
      <c r="J12" s="57">
        <f t="shared" si="2"/>
        <v>0</v>
      </c>
      <c r="K12" s="55">
        <v>1.0</v>
      </c>
      <c r="L12" s="55">
        <v>0.0</v>
      </c>
      <c r="M12" s="57">
        <f t="shared" si="3"/>
        <v>0</v>
      </c>
      <c r="N12" s="55">
        <v>1.0</v>
      </c>
      <c r="O12" s="55">
        <v>0.0</v>
      </c>
      <c r="P12" s="57">
        <f t="shared" si="4"/>
        <v>0</v>
      </c>
      <c r="Q12" s="55">
        <v>1.0</v>
      </c>
      <c r="R12" s="55">
        <v>0.0</v>
      </c>
      <c r="S12" s="57">
        <f t="shared" si="5"/>
        <v>0</v>
      </c>
      <c r="T12" s="39"/>
      <c r="U12" s="39"/>
      <c r="V12" s="39"/>
      <c r="W12" s="39"/>
      <c r="X12" s="39"/>
    </row>
    <row r="13" ht="15.75" customHeight="1">
      <c r="A13" s="53" t="s">
        <v>110</v>
      </c>
      <c r="D13" s="54" t="s">
        <v>109</v>
      </c>
      <c r="E13" s="54">
        <v>75.0</v>
      </c>
      <c r="F13" s="55">
        <v>0.0</v>
      </c>
      <c r="G13" s="56">
        <f t="shared" si="1"/>
        <v>0</v>
      </c>
      <c r="H13" s="54">
        <v>0.0</v>
      </c>
      <c r="I13" s="55">
        <v>0.0</v>
      </c>
      <c r="J13" s="57" t="str">
        <f t="shared" si="2"/>
        <v>#DIV/0!</v>
      </c>
      <c r="K13" s="55">
        <v>0.0</v>
      </c>
      <c r="L13" s="55">
        <v>0.0</v>
      </c>
      <c r="M13" s="57" t="str">
        <f t="shared" si="3"/>
        <v>#DIV/0!</v>
      </c>
      <c r="N13" s="55">
        <v>0.0</v>
      </c>
      <c r="O13" s="55">
        <v>0.0</v>
      </c>
      <c r="P13" s="57" t="str">
        <f t="shared" si="4"/>
        <v>#DIV/0!</v>
      </c>
      <c r="Q13" s="55">
        <v>0.0</v>
      </c>
      <c r="R13" s="55">
        <v>0.0</v>
      </c>
      <c r="S13" s="57" t="str">
        <f t="shared" si="5"/>
        <v>#DIV/0!</v>
      </c>
      <c r="T13" s="39"/>
      <c r="U13" s="39"/>
      <c r="V13" s="39"/>
      <c r="W13" s="39"/>
      <c r="X13" s="39"/>
    </row>
    <row r="14" ht="15.75" customHeight="1">
      <c r="A14" s="53" t="s">
        <v>107</v>
      </c>
      <c r="D14" s="54" t="s">
        <v>109</v>
      </c>
      <c r="E14" s="58">
        <v>0.2</v>
      </c>
      <c r="F14" s="55">
        <v>0.0</v>
      </c>
      <c r="G14" s="56">
        <f t="shared" si="1"/>
        <v>0</v>
      </c>
      <c r="H14" s="54">
        <v>0.0</v>
      </c>
      <c r="I14" s="55">
        <v>0.0</v>
      </c>
      <c r="J14" s="57" t="str">
        <f t="shared" si="2"/>
        <v>#DIV/0!</v>
      </c>
      <c r="K14" s="55">
        <v>0.0</v>
      </c>
      <c r="L14" s="55">
        <v>0.0</v>
      </c>
      <c r="M14" s="57" t="str">
        <f t="shared" si="3"/>
        <v>#DIV/0!</v>
      </c>
      <c r="N14" s="55">
        <v>0.0</v>
      </c>
      <c r="O14" s="55">
        <v>0.0</v>
      </c>
      <c r="P14" s="57" t="str">
        <f t="shared" si="4"/>
        <v>#DIV/0!</v>
      </c>
      <c r="Q14" s="55">
        <v>0.0</v>
      </c>
      <c r="R14" s="55">
        <v>0.0</v>
      </c>
      <c r="S14" s="57" t="str">
        <f t="shared" si="5"/>
        <v>#DIV/0!</v>
      </c>
      <c r="T14" s="39"/>
      <c r="U14" s="39"/>
      <c r="V14" s="39"/>
      <c r="W14" s="39"/>
      <c r="X14" s="39"/>
    </row>
    <row r="15" ht="15.75" customHeight="1">
      <c r="A15" s="53"/>
      <c r="D15" s="54"/>
      <c r="E15" s="54"/>
      <c r="F15" s="55"/>
      <c r="G15" s="57"/>
      <c r="H15" s="54"/>
      <c r="I15" s="55"/>
      <c r="J15" s="57"/>
      <c r="K15" s="55"/>
      <c r="L15" s="55"/>
      <c r="M15" s="57"/>
      <c r="N15" s="55"/>
      <c r="O15" s="55"/>
      <c r="P15" s="57"/>
      <c r="Q15" s="55"/>
      <c r="R15" s="55"/>
      <c r="S15" s="57"/>
      <c r="T15" s="39"/>
      <c r="U15" s="39"/>
      <c r="V15" s="39"/>
      <c r="W15" s="39"/>
      <c r="X15" s="39"/>
    </row>
    <row r="16" ht="15.75" customHeight="1">
      <c r="A16" s="53"/>
      <c r="D16" s="54"/>
      <c r="E16" s="54"/>
      <c r="F16" s="55"/>
      <c r="G16" s="57"/>
      <c r="H16" s="54"/>
      <c r="I16" s="55"/>
      <c r="J16" s="57"/>
      <c r="K16" s="55"/>
      <c r="L16" s="55"/>
      <c r="M16" s="57"/>
      <c r="N16" s="55"/>
      <c r="O16" s="55"/>
      <c r="P16" s="57"/>
      <c r="Q16" s="55"/>
      <c r="R16" s="55"/>
      <c r="S16" s="57"/>
    </row>
    <row r="17" ht="15.75" customHeight="1">
      <c r="A17" s="53"/>
      <c r="D17" s="54"/>
      <c r="E17" s="54"/>
      <c r="F17" s="55"/>
      <c r="G17" s="57"/>
      <c r="H17" s="54"/>
      <c r="I17" s="55"/>
      <c r="J17" s="57"/>
      <c r="K17" s="55"/>
      <c r="L17" s="55"/>
      <c r="M17" s="57"/>
      <c r="N17" s="55"/>
      <c r="O17" s="55"/>
      <c r="P17" s="57"/>
      <c r="Q17" s="55"/>
      <c r="R17" s="55"/>
      <c r="S17" s="57"/>
    </row>
    <row r="18" ht="15.75" customHeight="1">
      <c r="A18" s="53"/>
      <c r="D18" s="54"/>
      <c r="E18" s="54"/>
      <c r="F18" s="55"/>
      <c r="G18" s="57"/>
      <c r="H18" s="54"/>
      <c r="I18" s="55"/>
      <c r="J18" s="57"/>
      <c r="K18" s="55"/>
      <c r="L18" s="55"/>
      <c r="M18" s="57"/>
      <c r="N18" s="55"/>
      <c r="O18" s="55"/>
      <c r="P18" s="57"/>
      <c r="Q18" s="55"/>
      <c r="R18" s="55"/>
      <c r="S18" s="57"/>
    </row>
    <row r="19" ht="15.75" customHeight="1">
      <c r="A19" s="53"/>
      <c r="D19" s="54"/>
      <c r="E19" s="54"/>
      <c r="F19" s="55"/>
      <c r="G19" s="57"/>
      <c r="H19" s="54"/>
      <c r="I19" s="55"/>
      <c r="J19" s="57"/>
      <c r="K19" s="55"/>
      <c r="L19" s="55"/>
      <c r="M19" s="57"/>
      <c r="N19" s="55"/>
      <c r="O19" s="55"/>
      <c r="P19" s="57"/>
      <c r="Q19" s="55"/>
      <c r="R19" s="55"/>
      <c r="S19" s="57"/>
    </row>
    <row r="20" ht="15.75" customHeight="1">
      <c r="A20" s="53"/>
      <c r="D20" s="54"/>
      <c r="E20" s="54"/>
      <c r="F20" s="55"/>
      <c r="G20" s="57"/>
      <c r="H20" s="54"/>
      <c r="I20" s="55"/>
      <c r="J20" s="57"/>
      <c r="K20" s="55"/>
      <c r="L20" s="55"/>
      <c r="M20" s="57"/>
      <c r="N20" s="55"/>
      <c r="O20" s="55"/>
      <c r="P20" s="57"/>
      <c r="Q20" s="55"/>
      <c r="R20" s="55"/>
      <c r="S20" s="57"/>
    </row>
    <row r="21" ht="15.75" customHeight="1">
      <c r="A21" s="53"/>
      <c r="D21" s="54"/>
      <c r="E21" s="54"/>
      <c r="F21" s="55"/>
      <c r="G21" s="57"/>
      <c r="H21" s="54"/>
      <c r="I21" s="55"/>
      <c r="J21" s="57"/>
      <c r="K21" s="55"/>
      <c r="L21" s="55"/>
      <c r="M21" s="57"/>
      <c r="N21" s="55"/>
      <c r="O21" s="55"/>
      <c r="P21" s="57"/>
      <c r="Q21" s="55"/>
      <c r="R21" s="55"/>
      <c r="S21" s="57"/>
    </row>
    <row r="22" ht="15.75" customHeight="1">
      <c r="A22" s="53"/>
      <c r="D22" s="54"/>
      <c r="E22" s="54"/>
      <c r="F22" s="55"/>
      <c r="G22" s="57"/>
      <c r="H22" s="54"/>
      <c r="I22" s="55"/>
      <c r="J22" s="57"/>
      <c r="K22" s="55"/>
      <c r="L22" s="55"/>
      <c r="M22" s="57"/>
      <c r="N22" s="55"/>
      <c r="O22" s="55"/>
      <c r="P22" s="57"/>
      <c r="Q22" s="55"/>
      <c r="R22" s="55"/>
      <c r="S22" s="57"/>
    </row>
    <row r="23" ht="15.75" customHeight="1">
      <c r="A23" s="53"/>
      <c r="D23" s="54"/>
      <c r="E23" s="54"/>
      <c r="F23" s="55"/>
      <c r="G23" s="57"/>
      <c r="H23" s="54"/>
      <c r="I23" s="55"/>
      <c r="J23" s="57"/>
      <c r="K23" s="55"/>
      <c r="L23" s="55"/>
      <c r="M23" s="57"/>
      <c r="N23" s="55"/>
      <c r="O23" s="55"/>
      <c r="P23" s="57"/>
      <c r="Q23" s="55"/>
      <c r="R23" s="55"/>
      <c r="S23" s="57"/>
    </row>
    <row r="24" ht="15.75" customHeight="1">
      <c r="A24" s="53"/>
      <c r="D24" s="54"/>
      <c r="E24" s="54"/>
      <c r="F24" s="55"/>
      <c r="G24" s="57"/>
      <c r="H24" s="54"/>
      <c r="I24" s="55"/>
      <c r="J24" s="57"/>
      <c r="K24" s="55"/>
      <c r="L24" s="55"/>
      <c r="M24" s="57"/>
      <c r="N24" s="55"/>
      <c r="O24" s="55"/>
      <c r="P24" s="57"/>
      <c r="Q24" s="55"/>
      <c r="R24" s="55"/>
      <c r="S24" s="57"/>
    </row>
    <row r="25" ht="15.75" customHeight="1">
      <c r="A25" s="60"/>
      <c r="B25" s="50"/>
      <c r="C25" s="50"/>
      <c r="D25" s="61"/>
      <c r="E25" s="61"/>
      <c r="F25" s="62"/>
      <c r="G25" s="63"/>
      <c r="H25" s="61"/>
      <c r="I25" s="62"/>
      <c r="J25" s="63"/>
      <c r="K25" s="62"/>
      <c r="L25" s="62"/>
      <c r="M25" s="63"/>
      <c r="N25" s="62"/>
      <c r="O25" s="62"/>
      <c r="P25" s="63"/>
      <c r="Q25" s="62"/>
      <c r="R25" s="62"/>
      <c r="S25" s="6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C2"/>
    <mergeCell ref="E1:G1"/>
    <mergeCell ref="H1:J1"/>
    <mergeCell ref="K1:M1"/>
    <mergeCell ref="N1:P1"/>
    <mergeCell ref="Q1:S1"/>
    <mergeCell ref="A3:C3"/>
    <mergeCell ref="A4:C4"/>
    <mergeCell ref="A5:C5"/>
    <mergeCell ref="A6:C6"/>
    <mergeCell ref="A7:C7"/>
    <mergeCell ref="A8:C8"/>
    <mergeCell ref="A9:C9"/>
    <mergeCell ref="A10:C10"/>
    <mergeCell ref="A18:C18"/>
    <mergeCell ref="A19:C19"/>
    <mergeCell ref="A20:C20"/>
    <mergeCell ref="A21:C21"/>
    <mergeCell ref="A22:C22"/>
    <mergeCell ref="A23:C23"/>
    <mergeCell ref="A24:C24"/>
    <mergeCell ref="A25:C25"/>
    <mergeCell ref="A11:C11"/>
    <mergeCell ref="A12:C12"/>
    <mergeCell ref="A13:C13"/>
    <mergeCell ref="A14:C14"/>
    <mergeCell ref="A15:C15"/>
    <mergeCell ref="A16:C16"/>
    <mergeCell ref="A17:C17"/>
  </mergeCells>
  <drawing r:id="rId1"/>
</worksheet>
</file>